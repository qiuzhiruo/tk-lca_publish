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" i="1" l="1"/>
  <c r="B3" i="1" l="1"/>
  <c r="D2" i="1" l="1"/>
  <c r="E5" i="1" s="1"/>
  <c r="F5" i="1" s="1"/>
  <c r="D5" i="1" l="1"/>
  <c r="C5" i="1"/>
  <c r="C4" i="1"/>
  <c r="F4" i="1"/>
  <c r="E4" i="1"/>
  <c r="B4" i="1"/>
  <c r="B5" i="1" s="1"/>
  <c r="E3" i="1"/>
  <c r="C3" i="1"/>
  <c r="D4" i="1" l="1"/>
  <c r="D3" i="1"/>
</calcChain>
</file>

<file path=xl/sharedStrings.xml><?xml version="1.0" encoding="utf-8"?>
<sst xmlns="http://schemas.openxmlformats.org/spreadsheetml/2006/main" count="13" uniqueCount="13">
  <si>
    <t>body sys</t>
    <phoneticPr fontId="1" type="noConversion"/>
  </si>
  <si>
    <t>facial rig</t>
    <phoneticPr fontId="1" type="noConversion"/>
  </si>
  <si>
    <t>anim rig</t>
    <phoneticPr fontId="1" type="noConversion"/>
  </si>
  <si>
    <t>pecent</t>
    <phoneticPr fontId="1" type="noConversion"/>
  </si>
  <si>
    <t>time consume(ms/frame)</t>
    <phoneticPr fontId="1" type="noConversion"/>
  </si>
  <si>
    <t>draw</t>
    <phoneticPr fontId="1" type="noConversion"/>
  </si>
  <si>
    <t>FPS(frame per second)</t>
    <phoneticPr fontId="1" type="noConversion"/>
  </si>
  <si>
    <t>FPS consume</t>
    <phoneticPr fontId="1" type="noConversion"/>
  </si>
  <si>
    <t>other rig</t>
    <phoneticPr fontId="1" type="noConversion"/>
  </si>
  <si>
    <t>draw : 所有几何体，骨骼，控制器，在maya的model panel里 绘制所需要的时间</t>
    <phoneticPr fontId="1" type="noConversion"/>
  </si>
  <si>
    <t>body sys ： LCA_bodyRigSystem 的rig节点 计算所需要的时间</t>
    <phoneticPr fontId="1" type="noConversion"/>
  </si>
  <si>
    <t>facial rig : LCA_facialRigSystem和表情的所有deformer 和自定义rig 计算所需要的时间</t>
    <phoneticPr fontId="1" type="noConversion"/>
  </si>
  <si>
    <t>other rig : 所有的身体设置的deformer,PSD，次级控制器和自定义配件rig 计算所需要的时间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</si>
</sst>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400]h:mm:ss\ AM/PM"/>
    <numFmt numFmtId="177" formatCode="0.00_);[Red]\(0.0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 tint="0.34998626667073579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99999999999998E-2"/>
          <c:y val="0.17210943226691258"/>
          <c:w val="0.6706044619422572"/>
          <c:h val="0.80553088521592464"/>
        </c:manualLayout>
      </c:layout>
      <c:pieChart>
        <c:varyColors val="1"/>
        <c:ser>
          <c:idx val="0"/>
          <c:order val="0"/>
          <c:tx>
            <c:v>计算资源占用比</c:v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Sheet1!$B$1:$E$1</c:f>
              <c:strCache>
                <c:ptCount val="4"/>
                <c:pt idx="0">
                  <c:v>body sys</c:v>
                </c:pt>
                <c:pt idx="1">
                  <c:v>facial rig</c:v>
                </c:pt>
                <c:pt idx="2">
                  <c:v>other rig</c:v>
                </c:pt>
                <c:pt idx="3">
                  <c:v>draw</c:v>
                </c:pt>
              </c:strCache>
            </c:strRef>
          </c:cat>
          <c:val>
            <c:numRef>
              <c:f>Sheet1!$B$3:$E$3</c:f>
              <c:numCache>
                <c:formatCode>0.00%</c:formatCode>
                <c:ptCount val="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7327506561679793"/>
          <c:y val="0.66830484027334425"/>
          <c:w val="0.17356587926509187"/>
          <c:h val="0.28961623040363199"/>
        </c:manualLayout>
      </c:layout>
      <c:overlay val="0"/>
      <c:txPr>
        <a:bodyPr/>
        <a:lstStyle/>
        <a:p>
          <a:pPr rtl="0">
            <a:defRPr/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051917792358921"/>
          <c:y val="2.00501221478701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546470152769362E-2"/>
          <c:y val="0.14637599567801463"/>
          <c:w val="0.68013729053099137"/>
          <c:h val="0.74432399986991105"/>
        </c:manualLayout>
      </c:layout>
      <c:lineChart>
        <c:grouping val="standard"/>
        <c:varyColors val="0"/>
        <c:ser>
          <c:idx val="0"/>
          <c:order val="0"/>
          <c:tx>
            <c:v>帧数率消耗</c:v>
          </c:tx>
          <c:marker>
            <c:symbol val="none"/>
          </c:marker>
          <c:cat>
            <c:strRef>
              <c:f>(Sheet1!$B$1,Sheet1!$C$1,Sheet1!$D$1,Sheet1!$E$1,Sheet1!$F$1)</c:f>
              <c:strCache>
                <c:ptCount val="5"/>
                <c:pt idx="0">
                  <c:v>body sys</c:v>
                </c:pt>
                <c:pt idx="1">
                  <c:v>facial rig</c:v>
                </c:pt>
                <c:pt idx="2">
                  <c:v>other rig</c:v>
                </c:pt>
                <c:pt idx="3">
                  <c:v>draw</c:v>
                </c:pt>
                <c:pt idx="4">
                  <c:v>anim rig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3.3333333333333335</c:v>
                </c:pt>
                <c:pt idx="3">
                  <c:v>2.5</c:v>
                </c:pt>
                <c:pt idx="4">
                  <c:v>3.125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51872"/>
        <c:axId val="90159872"/>
      </c:lineChart>
      <c:catAx>
        <c:axId val="103951872"/>
        <c:scaling>
          <c:orientation val="minMax"/>
        </c:scaling>
        <c:delete val="0"/>
        <c:axPos val="b"/>
        <c:majorTickMark val="out"/>
        <c:minorTickMark val="none"/>
        <c:tickLblPos val="nextTo"/>
        <c:crossAx val="90159872"/>
        <c:crosses val="autoZero"/>
        <c:auto val="1"/>
        <c:lblAlgn val="ctr"/>
        <c:lblOffset val="100"/>
        <c:noMultiLvlLbl val="0"/>
      </c:catAx>
      <c:valAx>
        <c:axId val="90159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95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0309384224168252"/>
          <c:y val="3.5472928703975892E-2"/>
          <c:w val="0.39487690206948428"/>
          <c:h val="7.251292443503649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5</xdr:row>
      <xdr:rowOff>142874</xdr:rowOff>
    </xdr:from>
    <xdr:to>
      <xdr:col>5</xdr:col>
      <xdr:colOff>847725</xdr:colOff>
      <xdr:row>11</xdr:row>
      <xdr:rowOff>342899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5</xdr:row>
      <xdr:rowOff>147636</xdr:rowOff>
    </xdr:from>
    <xdr:to>
      <xdr:col>2</xdr:col>
      <xdr:colOff>409575</xdr:colOff>
      <xdr:row>11</xdr:row>
      <xdr:rowOff>342899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F3" sqref="F3"/>
    </sheetView>
  </sheetViews>
  <sheetFormatPr defaultColWidth="16.375" defaultRowHeight="39" customHeight="1" x14ac:dyDescent="0.15"/>
  <cols>
    <col min="1" max="1" width="24.125" style="1" customWidth="1"/>
    <col min="2" max="3" width="11.5" style="1" customWidth="1"/>
    <col min="4" max="4" width="11.125" style="1" customWidth="1"/>
    <col min="5" max="6" width="11.5" style="1" customWidth="1"/>
    <col min="7" max="16384" width="16.375" style="1"/>
  </cols>
  <sheetData>
    <row r="1" spans="1:8" ht="39" customHeight="1" x14ac:dyDescent="0.15">
      <c r="A1" s="7"/>
      <c r="B1" s="7" t="s">
        <v>0</v>
      </c>
      <c r="C1" s="7" t="s">
        <v>1</v>
      </c>
      <c r="D1" s="7" t="s">
        <v>8</v>
      </c>
      <c r="E1" s="7" t="s">
        <v>5</v>
      </c>
      <c r="F1" s="7" t="s">
        <v>2</v>
      </c>
      <c r="G1" s="3"/>
      <c r="H1" s="3"/>
    </row>
    <row r="2" spans="1:8" ht="39" customHeight="1" x14ac:dyDescent="0.15">
      <c r="A2" s="7" t="s">
        <v>4</v>
      </c>
      <c r="B2" s="7">
        <v>100</v>
      </c>
      <c r="C2" s="7">
        <v>100</v>
      </c>
      <c r="D2" s="7">
        <f>F2-(B2+C2)-E2</f>
        <v>100</v>
      </c>
      <c r="E2" s="7">
        <v>100</v>
      </c>
      <c r="F2" s="8">
        <v>400</v>
      </c>
      <c r="G2" s="3"/>
      <c r="H2" s="3"/>
    </row>
    <row r="3" spans="1:8" ht="39" customHeight="1" x14ac:dyDescent="0.15">
      <c r="A3" s="7" t="s">
        <v>3</v>
      </c>
      <c r="B3" s="9">
        <f>B2/F2</f>
        <v>0.25</v>
      </c>
      <c r="C3" s="9">
        <f>C2/F2</f>
        <v>0.25</v>
      </c>
      <c r="D3" s="9">
        <f>F3-(B3+C3)-E3</f>
        <v>0.25</v>
      </c>
      <c r="E3" s="9">
        <f>E2/F2</f>
        <v>0.25</v>
      </c>
      <c r="F3" s="10">
        <f>F2/F2</f>
        <v>1</v>
      </c>
      <c r="G3" s="3"/>
      <c r="H3" s="3"/>
    </row>
    <row r="4" spans="1:8" ht="39" customHeight="1" x14ac:dyDescent="0.15">
      <c r="A4" s="7" t="s">
        <v>6</v>
      </c>
      <c r="B4" s="7">
        <f>1000/B2</f>
        <v>10</v>
      </c>
      <c r="C4" s="7">
        <f>1000/C2</f>
        <v>10</v>
      </c>
      <c r="D4" s="7">
        <f>1000/D2</f>
        <v>10</v>
      </c>
      <c r="E4" s="7">
        <f>1000/E2</f>
        <v>10</v>
      </c>
      <c r="F4" s="8">
        <f>1000/F2</f>
        <v>2.5</v>
      </c>
      <c r="G4" s="3"/>
      <c r="H4" s="3"/>
    </row>
    <row r="5" spans="1:8" ht="39" customHeight="1" x14ac:dyDescent="0.15">
      <c r="A5" s="7" t="s">
        <v>7</v>
      </c>
      <c r="B5" s="7">
        <f>B4</f>
        <v>10</v>
      </c>
      <c r="C5" s="7">
        <f>1000/(C2+B2)</f>
        <v>5</v>
      </c>
      <c r="D5" s="7">
        <f>1000/(B2+C2+D2)</f>
        <v>3.3333333333333335</v>
      </c>
      <c r="E5" s="7">
        <f>1000/(B2+C2+D2+E2)</f>
        <v>2.5</v>
      </c>
      <c r="F5" s="11">
        <f>E5*1.25</f>
        <v>3.125</v>
      </c>
      <c r="G5" s="3"/>
      <c r="H5" s="3"/>
    </row>
    <row r="6" spans="1:8" ht="39" customHeight="1" x14ac:dyDescent="0.15">
      <c r="A6" s="12"/>
      <c r="B6" s="13"/>
      <c r="C6" s="13"/>
      <c r="D6" s="13"/>
      <c r="E6" s="13"/>
      <c r="F6" s="13"/>
      <c r="G6" s="3"/>
      <c r="H6" s="3"/>
    </row>
    <row r="7" spans="1:8" ht="39" customHeight="1" x14ac:dyDescent="0.15">
      <c r="A7" s="13"/>
      <c r="B7" s="13"/>
      <c r="C7" s="13"/>
      <c r="D7" s="13"/>
      <c r="E7" s="13"/>
      <c r="F7" s="13"/>
      <c r="G7" s="3"/>
      <c r="H7" s="3"/>
    </row>
    <row r="8" spans="1:8" ht="39" customHeight="1" x14ac:dyDescent="0.15">
      <c r="A8" s="13"/>
      <c r="B8" s="13"/>
      <c r="C8" s="13"/>
      <c r="D8" s="13"/>
      <c r="E8" s="13"/>
      <c r="F8" s="13"/>
      <c r="G8" s="6"/>
      <c r="H8" s="3"/>
    </row>
    <row r="9" spans="1:8" ht="39" customHeight="1" x14ac:dyDescent="0.15">
      <c r="A9" s="13"/>
      <c r="B9" s="13"/>
      <c r="C9" s="13"/>
      <c r="D9" s="13"/>
      <c r="E9" s="13"/>
      <c r="F9" s="13"/>
      <c r="G9" s="3"/>
      <c r="H9" s="3"/>
    </row>
    <row r="10" spans="1:8" ht="39" customHeight="1" x14ac:dyDescent="0.15">
      <c r="A10" s="13"/>
      <c r="B10" s="13"/>
      <c r="C10" s="13"/>
      <c r="D10" s="13"/>
      <c r="E10" s="13"/>
      <c r="F10" s="13"/>
      <c r="G10" s="3"/>
      <c r="H10" s="3"/>
    </row>
    <row r="11" spans="1:8" ht="39" customHeight="1" x14ac:dyDescent="0.15">
      <c r="A11" s="13"/>
      <c r="B11" s="13"/>
      <c r="C11" s="13"/>
      <c r="D11" s="13"/>
      <c r="E11" s="13"/>
      <c r="F11" s="13"/>
      <c r="G11" s="3"/>
      <c r="H11" s="3"/>
    </row>
    <row r="12" spans="1:8" ht="39" customHeight="1" x14ac:dyDescent="0.15">
      <c r="A12" s="13"/>
      <c r="B12" s="13"/>
      <c r="C12" s="13"/>
      <c r="D12" s="13"/>
      <c r="E12" s="13"/>
      <c r="F12" s="13"/>
      <c r="G12" s="3"/>
      <c r="H12" s="3"/>
    </row>
    <row r="13" spans="1:8" ht="39" customHeight="1" x14ac:dyDescent="0.15">
      <c r="A13" s="14" t="s">
        <v>10</v>
      </c>
      <c r="B13" s="14"/>
      <c r="C13" s="14"/>
      <c r="D13" s="14"/>
      <c r="E13" s="14"/>
      <c r="F13" s="14"/>
      <c r="G13" s="3"/>
      <c r="H13" s="3"/>
    </row>
    <row r="14" spans="1:8" ht="39" customHeight="1" x14ac:dyDescent="0.15">
      <c r="A14" s="14" t="s">
        <v>11</v>
      </c>
      <c r="B14" s="14"/>
      <c r="C14" s="14"/>
      <c r="D14" s="14"/>
      <c r="E14" s="14"/>
      <c r="F14" s="14"/>
      <c r="G14" s="3"/>
      <c r="H14" s="3"/>
    </row>
    <row r="15" spans="1:8" ht="39" customHeight="1" x14ac:dyDescent="0.15">
      <c r="A15" s="14" t="s">
        <v>12</v>
      </c>
      <c r="B15" s="14"/>
      <c r="C15" s="14"/>
      <c r="D15" s="14"/>
      <c r="E15" s="14"/>
      <c r="F15" s="14"/>
      <c r="G15" s="3"/>
      <c r="H15" s="3"/>
    </row>
    <row r="16" spans="1:8" ht="39" customHeight="1" x14ac:dyDescent="0.15">
      <c r="A16" s="14" t="s">
        <v>9</v>
      </c>
      <c r="B16" s="14"/>
      <c r="C16" s="14"/>
      <c r="D16" s="14"/>
      <c r="E16" s="14"/>
      <c r="F16" s="14"/>
      <c r="G16" s="3"/>
      <c r="H16" s="3"/>
    </row>
    <row r="17" spans="1:8" ht="39" customHeight="1" x14ac:dyDescent="0.15">
      <c r="A17" s="4"/>
      <c r="B17" s="5"/>
      <c r="C17" s="5"/>
      <c r="D17" s="5"/>
      <c r="E17" s="5"/>
      <c r="F17" s="5"/>
      <c r="G17" s="3"/>
      <c r="H17" s="3"/>
    </row>
    <row r="18" spans="1:8" ht="39" customHeight="1" x14ac:dyDescent="0.15">
      <c r="A18" s="4"/>
      <c r="B18" s="5"/>
      <c r="C18" s="5"/>
      <c r="D18" s="5"/>
      <c r="E18" s="5"/>
      <c r="F18" s="5"/>
      <c r="G18" s="3"/>
      <c r="H18" s="3"/>
    </row>
    <row r="19" spans="1:8" ht="39" customHeight="1" x14ac:dyDescent="0.15">
      <c r="A19" s="4"/>
      <c r="B19" s="5"/>
      <c r="C19" s="5"/>
      <c r="D19" s="5"/>
      <c r="E19" s="5"/>
      <c r="F19" s="5"/>
      <c r="G19" s="3"/>
      <c r="H19" s="3"/>
    </row>
    <row r="20" spans="1:8" ht="39" customHeight="1" x14ac:dyDescent="0.15">
      <c r="A20" s="4"/>
      <c r="B20" s="5"/>
      <c r="C20" s="5"/>
      <c r="D20" s="5"/>
      <c r="E20" s="5"/>
      <c r="F20" s="5"/>
      <c r="G20" s="4"/>
      <c r="H20" s="4"/>
    </row>
    <row r="21" spans="1:8" ht="39" customHeight="1" x14ac:dyDescent="0.15">
      <c r="A21" s="4"/>
      <c r="B21" s="5"/>
      <c r="C21" s="5"/>
      <c r="D21" s="5"/>
      <c r="E21" s="5"/>
      <c r="F21" s="5"/>
      <c r="G21" s="4"/>
      <c r="H21" s="4"/>
    </row>
    <row r="22" spans="1:8" ht="39" customHeight="1" x14ac:dyDescent="0.15">
      <c r="A22" s="4"/>
      <c r="B22" s="5"/>
      <c r="C22" s="5"/>
      <c r="D22" s="5"/>
      <c r="E22" s="5"/>
      <c r="F22" s="5"/>
      <c r="G22" s="4"/>
      <c r="H22" s="4"/>
    </row>
    <row r="23" spans="1:8" ht="39" customHeight="1" x14ac:dyDescent="0.15">
      <c r="B23" s="2"/>
      <c r="C23" s="2"/>
      <c r="D23" s="2"/>
      <c r="E23" s="2"/>
      <c r="F23" s="2"/>
    </row>
    <row r="24" spans="1:8" ht="39" customHeight="1" x14ac:dyDescent="0.15">
      <c r="B24" s="2"/>
      <c r="C24" s="2"/>
      <c r="D24" s="2"/>
      <c r="E24" s="2"/>
      <c r="F24" s="2"/>
    </row>
    <row r="25" spans="1:8" ht="39" customHeight="1" x14ac:dyDescent="0.15">
      <c r="B25" s="2"/>
      <c r="C25" s="2"/>
      <c r="D25" s="2"/>
      <c r="E25" s="2"/>
      <c r="F25" s="2"/>
    </row>
    <row r="26" spans="1:8" ht="39" customHeight="1" x14ac:dyDescent="0.15">
      <c r="B26" s="2"/>
      <c r="C26" s="2"/>
      <c r="D26" s="2"/>
      <c r="E26" s="2"/>
      <c r="F26" s="2"/>
    </row>
    <row r="27" spans="1:8" ht="39" customHeight="1" x14ac:dyDescent="0.15">
      <c r="B27" s="2"/>
      <c r="C27" s="2"/>
      <c r="D27" s="2"/>
      <c r="E27" s="2"/>
      <c r="F27" s="2"/>
    </row>
    <row r="28" spans="1:8" ht="39" customHeight="1" x14ac:dyDescent="0.15">
      <c r="B28" s="2"/>
      <c r="C28" s="2"/>
      <c r="D28" s="2"/>
      <c r="E28" s="2"/>
      <c r="F28" s="2"/>
    </row>
    <row r="29" spans="1:8" ht="39" customHeight="1" x14ac:dyDescent="0.15">
      <c r="B29" s="2"/>
      <c r="C29" s="2"/>
      <c r="D29" s="2"/>
      <c r="E29" s="2"/>
      <c r="F29" s="2"/>
    </row>
    <row r="30" spans="1:8" ht="39" customHeight="1" x14ac:dyDescent="0.15">
      <c r="B30" s="2"/>
      <c r="C30" s="2"/>
      <c r="D30" s="2"/>
      <c r="E30" s="2"/>
      <c r="F30" s="2"/>
    </row>
    <row r="31" spans="1:8" ht="39" customHeight="1" x14ac:dyDescent="0.15">
      <c r="B31" s="2"/>
      <c r="C31" s="2"/>
      <c r="D31" s="2"/>
      <c r="E31" s="2"/>
      <c r="F31" s="2"/>
    </row>
  </sheetData>
  <mergeCells count="5">
    <mergeCell ref="A6:F12"/>
    <mergeCell ref="A13:F13"/>
    <mergeCell ref="A15:F15"/>
    <mergeCell ref="A14:F14"/>
    <mergeCell ref="A16:F16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2015-09-16T09:02:27Z</dcterms:modified>
</cp:coreProperties>
</file>